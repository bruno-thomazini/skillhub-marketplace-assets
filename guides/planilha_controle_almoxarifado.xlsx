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  <sheet xmlns:r="http://schemas.openxmlformats.org/officeDocument/2006/relationships" name="Saidas" sheetId="2" state="visible" r:id="rId2"/>
    <sheet xmlns:r="http://schemas.openxmlformats.org/officeDocument/2006/relationships" name="Estoque Minimo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Sup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4A"/>
      <sz val="16"/>
    </font>
    <font>
      <b val="1"/>
      <color rgb="00FFFFFF"/>
    </font>
    <font>
      <b val="1"/>
      <color rgb="001F4E4A"/>
      <sz val="14"/>
    </font>
    <font>
      <color rgb="000563C1"/>
      <sz val="12"/>
      <u val="single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Estoque Atual x Estoque Minimo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'Dashboard'!$A$7:$A$8</f>
            </numRef>
          </cat>
          <val>
            <numRef>
              <f>'Dashboard'!$B$7:$B$8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'Dashboard'!$A$7:$A$8</f>
            </numRef>
          </cat>
          <val>
            <numRef>
              <f>'Dashboard'!$C$7:$C$8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skillhub.t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Data</t>
        </is>
      </c>
      <c r="B1" s="1" t="inlineStr">
        <is>
          <t>Codigo</t>
        </is>
      </c>
      <c r="C1" s="1" t="inlineStr">
        <is>
          <t>Item</t>
        </is>
      </c>
      <c r="D1" s="1" t="inlineStr">
        <is>
          <t>Quantidade</t>
        </is>
      </c>
      <c r="E1" s="1" t="inlineStr">
        <is>
          <t>Fornecedor</t>
        </is>
      </c>
      <c r="F1" s="1" t="inlineStr">
        <is>
          <t>Custo Unitario</t>
        </is>
      </c>
    </row>
    <row r="2">
      <c r="A2" t="inlineStr">
        <is>
          <t>2026-08-01</t>
        </is>
      </c>
      <c r="B2" t="inlineStr">
        <is>
          <t>ALX-001</t>
        </is>
      </c>
      <c r="C2" t="inlineStr">
        <is>
          <t>Parafuso 3/4</t>
        </is>
      </c>
      <c r="D2" t="n">
        <v>500</v>
      </c>
      <c r="E2" t="inlineStr">
        <is>
          <t>Fornecedor A</t>
        </is>
      </c>
      <c r="F2" t="n">
        <v>0.12</v>
      </c>
    </row>
    <row r="3">
      <c r="A3" t="inlineStr">
        <is>
          <t>2026-08-03</t>
        </is>
      </c>
      <c r="B3" t="inlineStr">
        <is>
          <t>ALX-002</t>
        </is>
      </c>
      <c r="C3" t="inlineStr">
        <is>
          <t>Luva de Protecao</t>
        </is>
      </c>
      <c r="D3" t="n">
        <v>100</v>
      </c>
      <c r="E3" t="inlineStr">
        <is>
          <t>Fornecedor B</t>
        </is>
      </c>
      <c r="F3" t="n">
        <v>8.5</v>
      </c>
    </row>
    <row r="4">
      <c r="A4" t="inlineStr">
        <is>
          <t>2026-08-05</t>
        </is>
      </c>
      <c r="B4" t="inlineStr">
        <is>
          <t>ALX-001</t>
        </is>
      </c>
      <c r="C4" t="inlineStr">
        <is>
          <t>Parafuso 3/4</t>
        </is>
      </c>
      <c r="D4" t="n">
        <v>200</v>
      </c>
      <c r="E4" t="inlineStr">
        <is>
          <t>Fornecedor A</t>
        </is>
      </c>
      <c r="F4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Data</t>
        </is>
      </c>
      <c r="B1" s="1" t="inlineStr">
        <is>
          <t>Codigo</t>
        </is>
      </c>
      <c r="C1" s="1" t="inlineStr">
        <is>
          <t>Item</t>
        </is>
      </c>
      <c r="D1" s="1" t="inlineStr">
        <is>
          <t>Quantidade</t>
        </is>
      </c>
      <c r="E1" s="1" t="inlineStr">
        <is>
          <t>Destino/Responsavel</t>
        </is>
      </c>
    </row>
    <row r="2">
      <c r="A2" t="inlineStr">
        <is>
          <t>2026-08-04</t>
        </is>
      </c>
      <c r="B2" t="inlineStr">
        <is>
          <t>ALX-001</t>
        </is>
      </c>
      <c r="C2" t="inlineStr">
        <is>
          <t>Parafuso 3/4</t>
        </is>
      </c>
      <c r="D2" t="n">
        <v>150</v>
      </c>
      <c r="E2" t="inlineStr">
        <is>
          <t>Producao - Linha 1</t>
        </is>
      </c>
    </row>
    <row r="3">
      <c r="A3" t="inlineStr">
        <is>
          <t>2026-08-06</t>
        </is>
      </c>
      <c r="B3" t="inlineStr">
        <is>
          <t>ALX-002</t>
        </is>
      </c>
      <c r="C3" t="inlineStr">
        <is>
          <t>Luva de Protecao</t>
        </is>
      </c>
      <c r="D3" t="n">
        <v>30</v>
      </c>
      <c r="E3" t="inlineStr">
        <is>
          <t>Almoxarifado 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70" customWidth="1" min="4" max="4"/>
    <col width="26" customWidth="1" min="5" max="5"/>
  </cols>
  <sheetData>
    <row r="1">
      <c r="A1" s="1" t="inlineStr">
        <is>
          <t>Codigo</t>
        </is>
      </c>
      <c r="B1" s="1" t="inlineStr">
        <is>
          <t>Item</t>
        </is>
      </c>
      <c r="C1" s="1" t="inlineStr">
        <is>
          <t>Estoque Minimo</t>
        </is>
      </c>
      <c r="D1" s="1" t="inlineStr">
        <is>
          <t>Estoque Atual</t>
        </is>
      </c>
      <c r="E1" s="1" t="inlineStr">
        <is>
          <t>Status</t>
        </is>
      </c>
    </row>
    <row r="2">
      <c r="A2" t="inlineStr">
        <is>
          <t>ALX-001</t>
        </is>
      </c>
      <c r="B2" t="inlineStr">
        <is>
          <t>Parafuso 3/4</t>
        </is>
      </c>
      <c r="C2" t="n">
        <v>300</v>
      </c>
      <c r="D2">
        <f>SUMIF(Entradas!B:B,A2,Entradas!D:D)-SUMIF(Saidas!B:B,A2,Saidas!D:D)</f>
        <v/>
      </c>
      <c r="E2">
        <f>IF(D2&lt;=C2,"REPOR","OK")</f>
        <v/>
      </c>
    </row>
    <row r="3">
      <c r="A3" t="inlineStr">
        <is>
          <t>ALX-002</t>
        </is>
      </c>
      <c r="B3" t="inlineStr">
        <is>
          <t>Luva de Protecao</t>
        </is>
      </c>
      <c r="C3" t="n">
        <v>50</v>
      </c>
      <c r="D3">
        <f>SUMIF(Entradas!B:B,A3,Entradas!D:D)-SUMIF(Saidas!B:B,A3,Saidas!D:D)</f>
        <v/>
      </c>
      <c r="E3">
        <f>IF(D3&lt;=C3,"REPOR","OK")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22" customWidth="1" min="3" max="3"/>
  </cols>
  <sheetData>
    <row r="1">
      <c r="A1" s="1" t="inlineStr">
        <is>
          <t>Dashboard - Controle de Almoxarifado</t>
        </is>
      </c>
      <c r="B1" s="1" t="n"/>
      <c r="C1" s="1" t="n"/>
    </row>
    <row r="3">
      <c r="A3" t="inlineStr">
        <is>
          <t>Total de itens cadastrados</t>
        </is>
      </c>
      <c r="B3">
        <f>COUNTA('Estoque Minimo'!A2:A1000)</f>
        <v/>
      </c>
    </row>
    <row r="4">
      <c r="A4" t="inlineStr">
        <is>
          <t>Itens abaixo do minimo</t>
        </is>
      </c>
      <c r="B4">
        <f>COUNTIF('Estoque Minimo'!E:E,"REPOR")</f>
        <v/>
      </c>
    </row>
    <row r="6">
      <c r="A6" t="inlineStr">
        <is>
          <t>Item</t>
        </is>
      </c>
      <c r="B6" t="inlineStr">
        <is>
          <t>Estoque Atual</t>
        </is>
      </c>
      <c r="C6" t="inlineStr">
        <is>
          <t>Estoque Minimo</t>
        </is>
      </c>
    </row>
    <row r="7">
      <c r="A7">
        <f>'Estoque Minimo'!B2</f>
        <v/>
      </c>
      <c r="B7">
        <f>'Estoque Minimo'!D2</f>
        <v/>
      </c>
      <c r="C7">
        <f>'Estoque Minimo'!C2</f>
        <v/>
      </c>
    </row>
    <row r="8">
      <c r="A8">
        <f>'Estoque Minimo'!B3</f>
        <v/>
      </c>
      <c r="B8">
        <f>'Estoque Minimo'!D3</f>
        <v/>
      </c>
      <c r="C8">
        <f>'Estoque Minimo'!C3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Duvidas ou sugestoes?</t>
        </is>
      </c>
    </row>
    <row r="2">
      <c r="A2" t="inlineStr">
        <is>
          <t>Siga a Skill Hub no Instagram:</t>
        </is>
      </c>
    </row>
    <row r="3">
      <c r="A3" s="3" t="inlineStr">
        <is>
          <t>@skillhub.tec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2026-08-26T16:28:48Z</dcterms:created>
  <dcterms:modified xmlns:dcterms="http://purl.org/dc/terms/" xmlns:xsi="http://www.w3.org/2001/XMLSchema-instance" xsi:type="dcterms:W3CDTF">2026-08-28T13:31:14Z</dcterms:modified>
</cp:coreProperties>
</file>