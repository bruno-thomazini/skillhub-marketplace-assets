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astecimentos" sheetId="1" state="visible" r:id="rId1"/>
    <sheet xmlns:r="http://schemas.openxmlformats.org/officeDocument/2006/relationships" name="Consumo (km-l)" sheetId="2" state="visible" r:id="rId2"/>
    <sheet xmlns:r="http://schemas.openxmlformats.org/officeDocument/2006/relationships" name="Manutencoes" sheetId="3" state="visible" r:id="rId3"/>
    <sheet xmlns:r="http://schemas.openxmlformats.org/officeDocument/2006/relationships" name="Alertas (IPVA-Oleo)" sheetId="4" state="visible" r:id="rId4"/>
    <sheet xmlns:r="http://schemas.openxmlformats.org/officeDocument/2006/relationships" name="Supor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4A"/>
      <sz val="14"/>
    </font>
    <font>
      <color rgb="000563C1"/>
      <sz val="12"/>
      <u val="single"/>
    </font>
  </fonts>
  <fills count="3">
    <fill>
      <patternFill/>
    </fill>
    <fill>
      <patternFill patternType="gray125"/>
    </fill>
    <fill>
      <patternFill patternType="solid">
        <fgColor rgb="001F4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www.instagram.com/skillhub.tec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Data</t>
        </is>
      </c>
      <c r="B1" s="1" t="inlineStr">
        <is>
          <t>Veiculo</t>
        </is>
      </c>
      <c r="C1" s="1" t="inlineStr">
        <is>
          <t>Km Atual</t>
        </is>
      </c>
      <c r="D1" s="1" t="inlineStr">
        <is>
          <t>Litros</t>
        </is>
      </c>
      <c r="E1" s="1" t="inlineStr">
        <is>
          <t>Valor Total</t>
        </is>
      </c>
    </row>
    <row r="2">
      <c r="A2" t="inlineStr">
        <is>
          <t>2026-08-01</t>
        </is>
      </c>
      <c r="B2" t="inlineStr">
        <is>
          <t>ABC1D23</t>
        </is>
      </c>
      <c r="C2" t="n">
        <v>45000</v>
      </c>
      <c r="D2" t="n">
        <v>40</v>
      </c>
      <c r="E2" t="n">
        <v>240</v>
      </c>
    </row>
    <row r="3">
      <c r="A3" t="inlineStr">
        <is>
          <t>2026-08-10</t>
        </is>
      </c>
      <c r="B3" t="inlineStr">
        <is>
          <t>ABC1D23</t>
        </is>
      </c>
      <c r="C3" t="n">
        <v>45480</v>
      </c>
      <c r="D3" t="n">
        <v>38</v>
      </c>
      <c r="E3" t="n">
        <v>228</v>
      </c>
    </row>
    <row r="4">
      <c r="A4" t="inlineStr">
        <is>
          <t>2026-08-20</t>
        </is>
      </c>
      <c r="B4" t="inlineStr">
        <is>
          <t>ABC1D23</t>
        </is>
      </c>
      <c r="C4" t="n">
        <v>45940</v>
      </c>
      <c r="D4" t="n">
        <v>39</v>
      </c>
      <c r="E4" t="n">
        <v>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7" customWidth="1" min="3" max="3"/>
    <col width="22" customWidth="1" min="4" max="4"/>
  </cols>
  <sheetData>
    <row r="1">
      <c r="A1" s="1" t="inlineStr">
        <is>
          <t>Veiculo</t>
        </is>
      </c>
      <c r="B1" s="1" t="inlineStr">
        <is>
          <t>Km Percorrido</t>
        </is>
      </c>
      <c r="C1" s="1" t="inlineStr">
        <is>
          <t>Litros Consumidos</t>
        </is>
      </c>
      <c r="D1" s="1" t="inlineStr">
        <is>
          <t>Consumo Medio (km-l)</t>
        </is>
      </c>
    </row>
    <row r="2">
      <c r="A2" t="inlineStr">
        <is>
          <t>ABC1D23</t>
        </is>
      </c>
      <c r="B2">
        <f>MAX(Abastecimentos!C:C)-MIN(Abastecimentos!C:C)</f>
        <v/>
      </c>
      <c r="C2">
        <f>SUMIF(Abastecimentos!B:B,"ABC1D23",Abastecimentos!D:D)</f>
        <v/>
      </c>
      <c r="D2">
        <f>B2/C2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8" customWidth="1" min="4" max="4"/>
    <col width="14" customWidth="1" min="5" max="5"/>
    <col width="15" customWidth="1" min="6" max="6"/>
  </cols>
  <sheetData>
    <row r="1">
      <c r="A1" s="1" t="inlineStr">
        <is>
          <t>Data</t>
        </is>
      </c>
      <c r="B1" s="1" t="inlineStr">
        <is>
          <t>Veiculo</t>
        </is>
      </c>
      <c r="C1" s="1" t="inlineStr">
        <is>
          <t>Tipo de Servico</t>
        </is>
      </c>
      <c r="D1" s="1" t="inlineStr">
        <is>
          <t>Km na Manutencao</t>
        </is>
      </c>
      <c r="E1" s="1" t="inlineStr">
        <is>
          <t>Custo</t>
        </is>
      </c>
      <c r="F1" s="1" t="inlineStr">
        <is>
          <t>Proxima Troca</t>
        </is>
      </c>
    </row>
    <row r="2">
      <c r="A2" t="inlineStr">
        <is>
          <t>2026-07-15</t>
        </is>
      </c>
      <c r="B2" t="inlineStr">
        <is>
          <t>ABC1D23</t>
        </is>
      </c>
      <c r="C2" t="inlineStr">
        <is>
          <t>Troca de oleo</t>
        </is>
      </c>
      <c r="D2" t="n">
        <v>44000</v>
      </c>
      <c r="E2" t="n">
        <v>180</v>
      </c>
      <c r="F2" t="inlineStr">
        <is>
          <t>49000 km</t>
        </is>
      </c>
    </row>
    <row r="3">
      <c r="A3" t="inlineStr">
        <is>
          <t>2026-08-05</t>
        </is>
      </c>
      <c r="B3" t="inlineStr">
        <is>
          <t>ABC1D23</t>
        </is>
      </c>
      <c r="C3" t="inlineStr">
        <is>
          <t>Revisao</t>
        </is>
      </c>
      <c r="D3" t="n">
        <v>45200</v>
      </c>
      <c r="E3" t="n">
        <v>350</v>
      </c>
      <c r="F3" t="inlineStr">
        <is>
          <t>50000 km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62" customWidth="1" min="4" max="4"/>
  </cols>
  <sheetData>
    <row r="1">
      <c r="A1" s="1" t="inlineStr">
        <is>
          <t>Veiculo</t>
        </is>
      </c>
      <c r="B1" s="1" t="inlineStr">
        <is>
          <t>Item</t>
        </is>
      </c>
      <c r="C1" s="1" t="inlineStr">
        <is>
          <t>Data-Km Limite</t>
        </is>
      </c>
      <c r="D1" s="1" t="inlineStr">
        <is>
          <t>Status</t>
        </is>
      </c>
    </row>
    <row r="2">
      <c r="A2" t="inlineStr">
        <is>
          <t>ABC1D23</t>
        </is>
      </c>
      <c r="B2" t="inlineStr">
        <is>
          <t>IPVA</t>
        </is>
      </c>
      <c r="C2" t="inlineStr">
        <is>
          <t>2026-09-30</t>
        </is>
      </c>
      <c r="D2">
        <f>IF(C2&lt;=TODAY(),"VENCIDO",IF(C2&lt;=TODAY()+30,"PROXIMO","OK"))</f>
        <v/>
      </c>
    </row>
    <row r="3">
      <c r="A3" t="inlineStr">
        <is>
          <t>ABC1D23</t>
        </is>
      </c>
      <c r="B3" t="inlineStr">
        <is>
          <t>Troca de Oleo</t>
        </is>
      </c>
      <c r="C3" t="inlineStr">
        <is>
          <t>2026-10-15</t>
        </is>
      </c>
      <c r="D3">
        <f>IF(C3&lt;=TODAY(),"VENCIDO",IF(C3&lt;=TODAY()+30,"PROXIMO","OK"))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Duvidas ou sugestoes?</t>
        </is>
      </c>
    </row>
    <row r="2">
      <c r="A2" t="inlineStr">
        <is>
          <t>Siga a Skill Hub no Instagram:</t>
        </is>
      </c>
    </row>
    <row r="3">
      <c r="A3" s="3" t="inlineStr">
        <is>
          <t>@skillhub.tec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2026-08-26T17:57:50Z</dcterms:created>
  <dcterms:modified xmlns:dcterms="http://purl.org/dc/terms/" xmlns:xsi="http://www.w3.org/2001/XMLSchema-instance" xsi:type="dcterms:W3CDTF">2026-08-28T13:31:15Z</dcterms:modified>
</cp:coreProperties>
</file>