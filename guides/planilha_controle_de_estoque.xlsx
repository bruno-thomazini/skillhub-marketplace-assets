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Produtos" sheetId="1" state="visible" r:id="rId1"/>
    <sheet xmlns:r="http://schemas.openxmlformats.org/officeDocument/2006/relationships" name="Entradas-Saidas" sheetId="2" state="visible" r:id="rId2"/>
    <sheet xmlns:r="http://schemas.openxmlformats.org/officeDocument/2006/relationships" name="Ponto de Pedido" sheetId="3" state="visible" r:id="rId3"/>
    <sheet xmlns:r="http://schemas.openxmlformats.org/officeDocument/2006/relationships" name="Supor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4A"/>
      <sz val="14"/>
    </font>
    <font>
      <color rgb="000563C1"/>
      <sz val="12"/>
      <u val="single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instagram.com/skillhub.te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16" customWidth="1" min="5" max="5"/>
    <col width="17" customWidth="1" min="6" max="6"/>
  </cols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Preco de Custo</t>
        </is>
      </c>
      <c r="E1" s="1" t="inlineStr">
        <is>
          <t>Preco de Venda</t>
        </is>
      </c>
      <c r="F1" s="1" t="inlineStr">
        <is>
          <t>Ponto de Pedido</t>
        </is>
      </c>
    </row>
    <row r="2">
      <c r="A2" t="inlineStr">
        <is>
          <t>PRD-001</t>
        </is>
      </c>
      <c r="B2" t="inlineStr">
        <is>
          <t>Camiseta Basica P</t>
        </is>
      </c>
      <c r="C2" t="inlineStr">
        <is>
          <t>Vestuario</t>
        </is>
      </c>
      <c r="D2" t="n">
        <v>18</v>
      </c>
      <c r="E2" t="n">
        <v>39.9</v>
      </c>
      <c r="F2" t="n">
        <v>20</v>
      </c>
    </row>
    <row r="3">
      <c r="A3" t="inlineStr">
        <is>
          <t>PRD-002</t>
        </is>
      </c>
      <c r="B3" t="inlineStr">
        <is>
          <t>Camiseta Basica M</t>
        </is>
      </c>
      <c r="C3" t="inlineStr">
        <is>
          <t>Vestuario</t>
        </is>
      </c>
      <c r="D3" t="n">
        <v>18</v>
      </c>
      <c r="E3" t="n">
        <v>39.9</v>
      </c>
      <c r="F3" t="n">
        <v>20</v>
      </c>
    </row>
    <row r="4">
      <c r="A4" t="inlineStr">
        <is>
          <t>PRD-003</t>
        </is>
      </c>
      <c r="B4" t="inlineStr">
        <is>
          <t>Caneca Personalizada</t>
        </is>
      </c>
      <c r="C4" t="inlineStr">
        <is>
          <t>Utilidades</t>
        </is>
      </c>
      <c r="D4" t="n">
        <v>9</v>
      </c>
      <c r="E4" t="n">
        <v>24.9</v>
      </c>
      <c r="F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Data</t>
        </is>
      </c>
      <c r="B1" s="1" t="inlineStr">
        <is>
          <t>SKU</t>
        </is>
      </c>
      <c r="C1" s="1" t="inlineStr">
        <is>
          <t>Tipo</t>
        </is>
      </c>
      <c r="D1" s="1" t="inlineStr">
        <is>
          <t>Quantidade</t>
        </is>
      </c>
    </row>
    <row r="2">
      <c r="A2" t="inlineStr">
        <is>
          <t>2026-08-01</t>
        </is>
      </c>
      <c r="B2" t="inlineStr">
        <is>
          <t>PRD-001</t>
        </is>
      </c>
      <c r="C2" t="inlineStr">
        <is>
          <t>Entrada</t>
        </is>
      </c>
      <c r="D2" t="n">
        <v>50</v>
      </c>
    </row>
    <row r="3">
      <c r="A3" t="inlineStr">
        <is>
          <t>2026-08-05</t>
        </is>
      </c>
      <c r="B3" t="inlineStr">
        <is>
          <t>PRD-001</t>
        </is>
      </c>
      <c r="C3" t="inlineStr">
        <is>
          <t>Saida</t>
        </is>
      </c>
      <c r="D3" t="n">
        <v>35</v>
      </c>
    </row>
    <row r="4">
      <c r="A4" t="inlineStr">
        <is>
          <t>2026-08-10</t>
        </is>
      </c>
      <c r="B4" t="inlineStr">
        <is>
          <t>PRD-003</t>
        </is>
      </c>
      <c r="C4" t="inlineStr">
        <is>
          <t>Entrada</t>
        </is>
      </c>
      <c r="D4" t="n">
        <v>20</v>
      </c>
    </row>
    <row r="5">
      <c r="A5" t="inlineStr">
        <is>
          <t>2026-08-15</t>
        </is>
      </c>
      <c r="B5" t="inlineStr">
        <is>
          <t>PRD-003</t>
        </is>
      </c>
      <c r="C5" t="inlineStr">
        <is>
          <t>Saida</t>
        </is>
      </c>
      <c r="D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  <col width="174" customWidth="1" min="3" max="3"/>
    <col width="49" customWidth="1" min="4" max="4"/>
    <col width="34" customWidth="1" min="5" max="5"/>
  </cols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Estoque Atual</t>
        </is>
      </c>
      <c r="D1" s="1" t="inlineStr">
        <is>
          <t>Ponto de Pedido</t>
        </is>
      </c>
      <c r="E1" s="1" t="inlineStr">
        <is>
          <t>Status</t>
        </is>
      </c>
    </row>
    <row r="2">
      <c r="A2" t="inlineStr">
        <is>
          <t>PRD-001</t>
        </is>
      </c>
      <c r="B2">
        <f>VLOOKUP(A2,'Cadastro de Produtos'!A:B,2,FALSE)</f>
        <v/>
      </c>
      <c r="C2">
        <f>SUMIFS('Entradas-Saidas'!D:D,'Entradas-Saidas'!B:B,A2,'Entradas-Saidas'!C:C,"Entrada")-SUMIFS('Entradas-Saidas'!D:D,'Entradas-Saidas'!B:B,A2,'Entradas-Saidas'!C:C,"Saida")</f>
        <v/>
      </c>
      <c r="D2">
        <f>VLOOKUP(A2,'Cadastro de Produtos'!A:F,6,FALSE)</f>
        <v/>
      </c>
      <c r="E2">
        <f>IF(C2&lt;=D2,"REPOR ESTOQUE","OK")</f>
        <v/>
      </c>
    </row>
    <row r="3">
      <c r="A3" t="inlineStr">
        <is>
          <t>PRD-002</t>
        </is>
      </c>
      <c r="B3">
        <f>VLOOKUP(A3,'Cadastro de Produtos'!A:B,2,FALSE)</f>
        <v/>
      </c>
      <c r="C3">
        <f>SUMIFS('Entradas-Saidas'!D:D,'Entradas-Saidas'!B:B,A3,'Entradas-Saidas'!C:C,"Entrada")-SUMIFS('Entradas-Saidas'!D:D,'Entradas-Saidas'!B:B,A3,'Entradas-Saidas'!C:C,"Saida")</f>
        <v/>
      </c>
      <c r="D3">
        <f>VLOOKUP(A3,'Cadastro de Produtos'!A:F,6,FALSE)</f>
        <v/>
      </c>
      <c r="E3">
        <f>IF(C3&lt;=D3,"REPOR ESTOQUE","OK")</f>
        <v/>
      </c>
    </row>
    <row r="4">
      <c r="A4" t="inlineStr">
        <is>
          <t>PRD-003</t>
        </is>
      </c>
      <c r="B4">
        <f>VLOOKUP(A4,'Cadastro de Produtos'!A:B,2,FALSE)</f>
        <v/>
      </c>
      <c r="C4">
        <f>SUMIFS('Entradas-Saidas'!D:D,'Entradas-Saidas'!B:B,A4,'Entradas-Saidas'!C:C,"Entrada")-SUMIFS('Entradas-Saidas'!D:D,'Entradas-Saidas'!B:B,A4,'Entradas-Saidas'!C:C,"Saida")</f>
        <v/>
      </c>
      <c r="D4">
        <f>VLOOKUP(A4,'Cadastro de Produtos'!A:F,6,FALSE)</f>
        <v/>
      </c>
      <c r="E4">
        <f>IF(C4&lt;=D4,"REPOR ESTOQUE","OK")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Duvidas ou sugestoes?</t>
        </is>
      </c>
    </row>
    <row r="2">
      <c r="A2" t="inlineStr">
        <is>
          <t>Siga a Skill Hub no Instagram:</t>
        </is>
      </c>
    </row>
    <row r="3">
      <c r="A3" s="3" t="inlineStr">
        <is>
          <t>@skillhub.tec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2026-08-26T17:57:51Z</dcterms:created>
  <dcterms:modified xmlns:dcterms="http://purl.org/dc/terms/" xmlns:xsi="http://www.w3.org/2001/XMLSchema-instance" xsi:type="dcterms:W3CDTF">2026-08-28T13:31:15Z</dcterms:modified>
</cp:coreProperties>
</file>