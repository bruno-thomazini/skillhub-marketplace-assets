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RE Simplificado" sheetId="2" state="visible" r:id="rId2"/>
    <sheet xmlns:r="http://schemas.openxmlformats.org/officeDocument/2006/relationships" name="Contas a Pagar-Receber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Supor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4A"/>
      <sz val="16"/>
    </font>
    <font>
      <b val="1"/>
      <color rgb="00FFFFFF"/>
    </font>
    <font>
      <b val="1"/>
      <color rgb="001F4E4A"/>
      <sz val="14"/>
    </font>
    <font>
      <color rgb="000563C1"/>
      <sz val="12"/>
      <u val="single"/>
    </font>
  </fonts>
  <fills count="3">
    <fill>
      <patternFill/>
    </fill>
    <fill>
      <patternFill patternType="gray125"/>
    </fill>
    <fill>
      <patternFill patternType="solid">
        <fgColor rgb="00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Receitas x Despesas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'Dashboard'!$A$8</f>
            </numRef>
          </cat>
          <val>
            <numRef>
              <f>'Dashboard'!$B$8</f>
            </numRef>
          </val>
        </ser>
        <ser>
          <idx val="1"/>
          <order val="1"/>
          <tx>
            <strRef>
              <f>'Dashboard'!C7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'Dashboard'!$A$8</f>
            </numRef>
          </cat>
          <val>
            <numRef>
              <f>'Dashboard'!$C$8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Despesas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'Dashboard'!$A$11:$A$14</f>
            </numRef>
          </cat>
          <val>
            <numRef>
              <f>'Dashboard'!$B$11:$B$14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stagram.com/skillhub.tec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4" customWidth="1" min="5" max="5"/>
  </cols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Descricao</t>
        </is>
      </c>
      <c r="E1" s="1" t="inlineStr">
        <is>
          <t>Valor</t>
        </is>
      </c>
    </row>
    <row r="2">
      <c r="A2" t="inlineStr">
        <is>
          <t>2026-08-01</t>
        </is>
      </c>
      <c r="B2" t="inlineStr">
        <is>
          <t>Receita</t>
        </is>
      </c>
      <c r="C2" t="inlineStr">
        <is>
          <t>Vendas</t>
        </is>
      </c>
      <c r="D2" t="inlineStr">
        <is>
          <t>Venda balcao</t>
        </is>
      </c>
      <c r="E2" t="n">
        <v>4200</v>
      </c>
    </row>
    <row r="3">
      <c r="A3" t="inlineStr">
        <is>
          <t>2026-08-03</t>
        </is>
      </c>
      <c r="B3" t="inlineStr">
        <is>
          <t>Despesa</t>
        </is>
      </c>
      <c r="C3" t="inlineStr">
        <is>
          <t>Fornecedores</t>
        </is>
      </c>
      <c r="D3" t="inlineStr">
        <is>
          <t>Compra de insumos</t>
        </is>
      </c>
      <c r="E3" t="n">
        <v>1300</v>
      </c>
    </row>
    <row r="4">
      <c r="A4" t="inlineStr">
        <is>
          <t>2026-08-05</t>
        </is>
      </c>
      <c r="B4" t="inlineStr">
        <is>
          <t>Despesa</t>
        </is>
      </c>
      <c r="C4" t="inlineStr">
        <is>
          <t>Aluguel</t>
        </is>
      </c>
      <c r="D4" t="inlineStr">
        <is>
          <t>Aluguel do mes</t>
        </is>
      </c>
      <c r="E4" t="n">
        <v>1800</v>
      </c>
    </row>
    <row r="5">
      <c r="A5" t="inlineStr">
        <is>
          <t>2026-08-07</t>
        </is>
      </c>
      <c r="B5" t="inlineStr">
        <is>
          <t>Receita</t>
        </is>
      </c>
      <c r="C5" t="inlineStr">
        <is>
          <t>Vendas</t>
        </is>
      </c>
      <c r="D5" t="inlineStr">
        <is>
          <t>Venda online</t>
        </is>
      </c>
      <c r="E5" t="n">
        <v>2600</v>
      </c>
    </row>
    <row r="6">
      <c r="A6" t="inlineStr">
        <is>
          <t>2026-08-10</t>
        </is>
      </c>
      <c r="B6" t="inlineStr">
        <is>
          <t>Despesa</t>
        </is>
      </c>
      <c r="C6" t="inlineStr">
        <is>
          <t>Folha</t>
        </is>
      </c>
      <c r="D6" t="inlineStr">
        <is>
          <t>Salarios</t>
        </is>
      </c>
      <c r="E6" t="n">
        <v>3200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  <col width="51" customWidth="1" min="3" max="3"/>
    <col width="18" customWidth="1" min="4" max="4"/>
  </cols>
  <sheetData>
    <row r="1">
      <c r="A1" s="1" t="inlineStr">
        <is>
          <t>Mes</t>
        </is>
      </c>
      <c r="B1" s="1" t="inlineStr">
        <is>
          <t>Receitas</t>
        </is>
      </c>
      <c r="C1" s="1" t="inlineStr">
        <is>
          <t>Despesas</t>
        </is>
      </c>
      <c r="D1" s="1" t="inlineStr">
        <is>
          <t>Resultado do Mes</t>
        </is>
      </c>
    </row>
    <row r="2">
      <c r="A2" t="inlineStr">
        <is>
          <t>Agosto/2026</t>
        </is>
      </c>
      <c r="B2">
        <f>SUMIF(Lancamentos!B:B,"Receita",Lancamentos!E:E)</f>
        <v/>
      </c>
      <c r="C2">
        <f>SUMIF(Lancamentos!B:B,"Despesa",Lancamentos!E:E)</f>
        <v/>
      </c>
      <c r="D2">
        <f>B2-C2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Data de Vencimento</t>
        </is>
      </c>
      <c r="B1" s="1" t="inlineStr">
        <is>
          <t>Tipo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Status</t>
        </is>
      </c>
      <c r="F1" s="1" t="inlineStr">
        <is>
          <t>Dias para Vencer</t>
        </is>
      </c>
    </row>
    <row r="2">
      <c r="A2" t="inlineStr">
        <is>
          <t>2026-09-05</t>
        </is>
      </c>
      <c r="B2" t="inlineStr">
        <is>
          <t>A Pagar</t>
        </is>
      </c>
      <c r="C2" t="inlineStr">
        <is>
          <t>Fornecedor A</t>
        </is>
      </c>
      <c r="D2" t="n">
        <v>900</v>
      </c>
      <c r="E2" t="inlineStr">
        <is>
          <t>Pendente</t>
        </is>
      </c>
      <c r="F2">
        <f>A2-TODAY()</f>
        <v/>
      </c>
    </row>
    <row r="3">
      <c r="A3" t="inlineStr">
        <is>
          <t>2026-09-10</t>
        </is>
      </c>
      <c r="B3" t="inlineStr">
        <is>
          <t>A Receber</t>
        </is>
      </c>
      <c r="C3" t="inlineStr">
        <is>
          <t>Cliente XPTO</t>
        </is>
      </c>
      <c r="D3" t="n">
        <v>1500</v>
      </c>
      <c r="E3" t="inlineStr">
        <is>
          <t>Pendente</t>
        </is>
      </c>
      <c r="F3">
        <f>A3-TODAY()</f>
        <v/>
      </c>
    </row>
    <row r="4">
      <c r="A4" t="inlineStr">
        <is>
          <t>2026-08-20</t>
        </is>
      </c>
      <c r="B4" t="inlineStr">
        <is>
          <t>A Pagar</t>
        </is>
      </c>
      <c r="C4" t="inlineStr">
        <is>
          <t>Energia eletrica</t>
        </is>
      </c>
      <c r="D4" t="n">
        <v>420</v>
      </c>
      <c r="E4" t="inlineStr">
        <is>
          <t>Pago</t>
        </is>
      </c>
      <c r="F4">
        <f>A4-TODAY()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  <col width="24" customWidth="1" min="3" max="3"/>
  </cols>
  <sheetData>
    <row r="1">
      <c r="A1" s="1" t="inlineStr">
        <is>
          <t>Dashboard - Fluxo de Caixa</t>
        </is>
      </c>
      <c r="B1" s="1" t="n"/>
      <c r="C1" s="1" t="n"/>
    </row>
    <row r="3">
      <c r="A3" t="inlineStr">
        <is>
          <t>Saldo do mes atual</t>
        </is>
      </c>
      <c r="B3">
        <f>'DRE Simplificado'!D2</f>
        <v/>
      </c>
    </row>
    <row r="4">
      <c r="A4" t="inlineStr">
        <is>
          <t>Total a receber (pendente)</t>
        </is>
      </c>
      <c r="B4">
        <f>SUMIFS('Contas a Pagar-Receber'!D:D,'Contas a Pagar-Receber'!B:B,"A Receber",'Contas a Pagar-Receber'!E:E,"Pendente")</f>
        <v/>
      </c>
    </row>
    <row r="5">
      <c r="A5" t="inlineStr">
        <is>
          <t>Total a pagar (pendente)</t>
        </is>
      </c>
      <c r="B5">
        <f>SUMIFS('Contas a Pagar-Receber'!D:D,'Contas a Pagar-Receber'!B:B,"A Pagar",'Contas a Pagar-Receber'!E:E,"Pendente")</f>
        <v/>
      </c>
    </row>
    <row r="7">
      <c r="A7" t="inlineStr">
        <is>
          <t>Mes</t>
        </is>
      </c>
      <c r="B7" t="inlineStr">
        <is>
          <t>Receitas</t>
        </is>
      </c>
      <c r="C7" t="inlineStr">
        <is>
          <t>Despesas</t>
        </is>
      </c>
    </row>
    <row r="8">
      <c r="A8">
        <f>'DRE Simplificado'!A2</f>
        <v/>
      </c>
      <c r="B8">
        <f>'DRE Simplificado'!B2</f>
        <v/>
      </c>
      <c r="C8">
        <f>'DRE Simplificado'!C2</f>
        <v/>
      </c>
    </row>
    <row r="10">
      <c r="A10" t="inlineStr">
        <is>
          <t>Categoria</t>
        </is>
      </c>
      <c r="B10" t="inlineStr">
        <is>
          <t>Total</t>
        </is>
      </c>
    </row>
    <row r="11">
      <c r="A11" t="inlineStr">
        <is>
          <t>Vendas</t>
        </is>
      </c>
      <c r="B11">
        <f>SUMIF(Lancamentos!C:C,A11,Lancamentos!E:E)</f>
        <v/>
      </c>
    </row>
    <row r="12">
      <c r="A12" t="inlineStr">
        <is>
          <t>Fornecedores</t>
        </is>
      </c>
      <c r="B12">
        <f>SUMIF(Lancamentos!C:C,A12,Lancamentos!E:E)</f>
        <v/>
      </c>
    </row>
    <row r="13">
      <c r="A13" t="inlineStr">
        <is>
          <t>Aluguel</t>
        </is>
      </c>
      <c r="B13">
        <f>SUMIF(Lancamentos!C:C,A13,Lancamentos!E:E)</f>
        <v/>
      </c>
    </row>
    <row r="14">
      <c r="A14" t="inlineStr">
        <is>
          <t>Folha</t>
        </is>
      </c>
      <c r="B14">
        <f>SUMIF(Lancamentos!C:C,A14,Lancamentos!E:E)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Duvidas ou sugestoes?</t>
        </is>
      </c>
    </row>
    <row r="2">
      <c r="A2" t="inlineStr">
        <is>
          <t>Siga a Skill Hub no Instagram:</t>
        </is>
      </c>
    </row>
    <row r="3">
      <c r="A3" s="3" t="inlineStr">
        <is>
          <t>@skillhub.tec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2026-08-26T17:04:12Z</dcterms:created>
  <dcterms:modified xmlns:dcterms="http://purl.org/dc/terms/" xmlns:xsi="http://www.w3.org/2001/XMLSchema-instance" xsi:type="dcterms:W3CDTF">2026-08-28T13:31:15Z</dcterms:modified>
</cp:coreProperties>
</file>